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\\192.168.20.4\Muhammad Nasir\New Folder (Muzammil)\Excel Classes\"/>
    </mc:Choice>
  </mc:AlternateContent>
  <bookViews>
    <workbookView xWindow="0" yWindow="0" windowWidth="12405" windowHeight="6660" activeTab="1"/>
  </bookViews>
  <sheets>
    <sheet name="Sheet1" sheetId="1" r:id="rId1"/>
    <sheet name="Sheet2" sheetId="2" r:id="rId2"/>
    <sheet name="Sheet3" sheetId="4" r:id="rId3"/>
    <sheet name="Sheet4" sheetId="5" r:id="rId4"/>
    <sheet name="Sheet5" sheetId="6" r:id="rId5"/>
  </sheets>
  <definedNames>
    <definedName name="_xlnm.Print_Area" localSheetId="0">Sheet1!$A$1:$Z$25</definedName>
  </definedNames>
  <calcPr calcId="152511"/>
  <customWorkbookViews>
    <customWorkbookView name="3" guid="{592DC52D-BE16-485D-AE14-EFCBC230D3DB}" maximized="1" xWindow="-8" yWindow="-8" windowWidth="1616" windowHeight="876" activeSheetId="1" showFormulaBar="0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6" i="5" l="1"/>
  <c r="G7" i="5"/>
  <c r="G8" i="5"/>
  <c r="G9" i="5"/>
  <c r="G10" i="5"/>
  <c r="G11" i="5"/>
  <c r="G5" i="5"/>
  <c r="C4" i="5"/>
  <c r="C3" i="5"/>
  <c r="C4" i="4"/>
  <c r="C5" i="4"/>
  <c r="C6" i="4"/>
  <c r="C7" i="4"/>
  <c r="C8" i="4"/>
  <c r="C9" i="4"/>
  <c r="C3" i="4"/>
  <c r="F8" i="2"/>
  <c r="F9" i="2" s="1"/>
  <c r="F10" i="2" s="1"/>
  <c r="F11" i="2" s="1"/>
  <c r="F12" i="2" s="1"/>
  <c r="F13" i="2" s="1"/>
  <c r="F14" i="2" s="1"/>
  <c r="F7" i="2"/>
  <c r="F6" i="2"/>
  <c r="G5" i="2"/>
  <c r="G6" i="2"/>
  <c r="G7" i="2"/>
  <c r="G8" i="2"/>
  <c r="G9" i="2"/>
  <c r="G10" i="2"/>
  <c r="G11" i="2"/>
  <c r="G12" i="2"/>
  <c r="G13" i="2"/>
  <c r="G14" i="2"/>
  <c r="D3" i="4" l="1"/>
  <c r="F6" i="4"/>
  <c r="F9" i="4"/>
  <c r="F5" i="4"/>
  <c r="F4" i="4"/>
  <c r="F7" i="4"/>
  <c r="E8" i="4"/>
  <c r="E7" i="4"/>
  <c r="E3" i="4"/>
  <c r="F8" i="4"/>
  <c r="F3" i="4"/>
  <c r="E9" i="4"/>
  <c r="E5" i="4"/>
  <c r="E4" i="4"/>
  <c r="E6" i="4"/>
  <c r="D4" i="4"/>
  <c r="D7" i="4"/>
  <c r="D6" i="4"/>
  <c r="D9" i="4"/>
  <c r="D5" i="4"/>
  <c r="D8" i="4"/>
</calcChain>
</file>

<file path=xl/sharedStrings.xml><?xml version="1.0" encoding="utf-8"?>
<sst xmlns="http://schemas.openxmlformats.org/spreadsheetml/2006/main" count="38" uniqueCount="23">
  <si>
    <t>MONTHS</t>
  </si>
  <si>
    <t>EXP</t>
  </si>
  <si>
    <t>YEAR</t>
  </si>
  <si>
    <t>OLD EXP</t>
  </si>
  <si>
    <t>S#</t>
  </si>
  <si>
    <t>JAN</t>
  </si>
  <si>
    <t>FEB</t>
  </si>
  <si>
    <t>MAR</t>
  </si>
  <si>
    <t>APR</t>
  </si>
  <si>
    <t>MAY</t>
  </si>
  <si>
    <t>JUN</t>
  </si>
  <si>
    <t>JUL</t>
  </si>
  <si>
    <t>MONTH</t>
  </si>
  <si>
    <t>AVG</t>
  </si>
  <si>
    <t>MAX</t>
  </si>
  <si>
    <t>MIN</t>
  </si>
  <si>
    <t>PROJECT</t>
  </si>
  <si>
    <t>ACTUAL</t>
  </si>
  <si>
    <t>REMAINING</t>
  </si>
  <si>
    <t xml:space="preserve">BULLET CHART </t>
  </si>
  <si>
    <t>TARGET</t>
  </si>
  <si>
    <t>MIN TARGET</t>
  </si>
  <si>
    <t>JANUARY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</si>
</sst>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F800]dddd\,\ mmmm\ dd\,\ yyyy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rgb="FF00000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64" fontId="0" fillId="0" borderId="0" xfId="0" applyNumberFormat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240834418782542"/>
          <c:y val="8.4958772313986894E-2"/>
          <c:w val="0.73210757746190813"/>
          <c:h val="0.7654842721155832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Sheet2!$K$3</c:f>
              <c:strCache>
                <c:ptCount val="1"/>
                <c:pt idx="0">
                  <c:v>EXP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Sheet2!$J$4:$J$6</c:f>
              <c:numCache>
                <c:formatCode>General</c:formatCod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numCache>
            </c:numRef>
          </c:cat>
          <c:val>
            <c:numRef>
              <c:f>Sheet2!$K$4:$K$6</c:f>
              <c:numCache>
                <c:formatCode>General</c:formatCode>
                <c:ptCount val="3"/>
                <c:pt idx="0">
                  <c:v>10000</c:v>
                </c:pt>
                <c:pt idx="1">
                  <c:v>20000</c:v>
                </c:pt>
                <c:pt idx="2">
                  <c:v>30000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4DE-47EE-BE16-744602340531}"/>
            </c:ext>
          </c:extLst>
        </c:ser>
        <c:ser>
          <c:idx val="1"/>
          <c:order val="1"/>
          <c:tx>
            <c:strRef>
              <c:f>Sheet2!$N$3</c:f>
              <c:strCache>
                <c:ptCount val="1"/>
                <c:pt idx="0">
                  <c:v>OLD EXP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Sheet2!$J$4:$J$6</c:f>
              <c:numCache>
                <c:formatCode>General</c:formatCod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numCache>
            </c:numRef>
          </c:cat>
          <c:val>
            <c:numRef>
              <c:f>Sheet2!$N$4:$N$6</c:f>
              <c:numCache>
                <c:formatCode>General</c:formatCode>
                <c:ptCount val="3"/>
                <c:pt idx="0">
                  <c:v>12334</c:v>
                </c:pt>
                <c:pt idx="1">
                  <c:v>4124</c:v>
                </c:pt>
                <c:pt idx="2">
                  <c:v>13414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24DE-47EE-BE16-7446023405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46463792"/>
        <c:axId val="1646469232"/>
      </c:barChart>
      <c:catAx>
        <c:axId val="164646379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46469232"/>
        <c:crosses val="autoZero"/>
        <c:auto val="1"/>
        <c:lblAlgn val="ctr"/>
        <c:lblOffset val="100"/>
        <c:noMultiLvlLbl val="0"/>
      </c:catAx>
      <c:valAx>
        <c:axId val="1646469232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646463792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Sheet2!$D$3</c:f>
              <c:strCache>
                <c:ptCount val="1"/>
                <c:pt idx="0">
                  <c:v>EXP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Sheet2!$C$4:$C$6</c:f>
              <c:numCache>
                <c:formatCode>[$-F800]dddd\,\ mmmm\ dd\,\ yyyy</c:formatCode>
                <c:ptCount val="3"/>
                <c:pt idx="0">
                  <c:v>45658</c:v>
                </c:pt>
                <c:pt idx="1">
                  <c:v>45690</c:v>
                </c:pt>
                <c:pt idx="2">
                  <c:v>45722</c:v>
                </c:pt>
              </c:numCache>
            </c:numRef>
          </c:cat>
          <c:val>
            <c:numRef>
              <c:f>Sheet2!$D$4:$D$6</c:f>
              <c:numCache>
                <c:formatCode>General</c:formatCode>
                <c:ptCount val="3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BF5-487D-BEFC-05DF4AF967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46465424"/>
        <c:axId val="1646471408"/>
      </c:barChart>
      <c:dateAx>
        <c:axId val="1646465424"/>
        <c:scaling>
          <c:orientation val="maxMin"/>
        </c:scaling>
        <c:delete val="0"/>
        <c:axPos val="l"/>
        <c:numFmt formatCode="[$-F800]dddd\,\ mmmm\ dd\,\ 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6471408"/>
        <c:crosses val="autoZero"/>
        <c:auto val="1"/>
        <c:lblOffset val="100"/>
        <c:baseTimeUnit val="months"/>
      </c:dateAx>
      <c:valAx>
        <c:axId val="1646471408"/>
        <c:scaling>
          <c:orientation val="minMax"/>
        </c:scaling>
        <c:delete val="1"/>
        <c:axPos val="t"/>
        <c:numFmt formatCode="General" sourceLinked="1"/>
        <c:majorTickMark val="none"/>
        <c:minorTickMark val="none"/>
        <c:tickLblPos val="nextTo"/>
        <c:crossAx val="1646465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Sheet2!$D$3</c:f>
              <c:strCache>
                <c:ptCount val="1"/>
                <c:pt idx="0">
                  <c:v>EXP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Sheet2!$C$4:$C$27</c:f>
              <c:numCache>
                <c:formatCode>[$-F800]dddd\,\ mmmm\ dd\,\ yyyy</c:formatCode>
                <c:ptCount val="24"/>
                <c:pt idx="0">
                  <c:v>45658</c:v>
                </c:pt>
                <c:pt idx="1">
                  <c:v>45690</c:v>
                </c:pt>
                <c:pt idx="2">
                  <c:v>45722</c:v>
                </c:pt>
                <c:pt idx="3">
                  <c:v>45754</c:v>
                </c:pt>
                <c:pt idx="4">
                  <c:v>45786</c:v>
                </c:pt>
                <c:pt idx="5">
                  <c:v>45818</c:v>
                </c:pt>
                <c:pt idx="6">
                  <c:v>45850</c:v>
                </c:pt>
                <c:pt idx="7">
                  <c:v>45882</c:v>
                </c:pt>
                <c:pt idx="8">
                  <c:v>45914</c:v>
                </c:pt>
                <c:pt idx="9">
                  <c:v>45946</c:v>
                </c:pt>
                <c:pt idx="10">
                  <c:v>45978</c:v>
                </c:pt>
                <c:pt idx="11">
                  <c:v>46010</c:v>
                </c:pt>
                <c:pt idx="12">
                  <c:v>46042</c:v>
                </c:pt>
                <c:pt idx="13">
                  <c:v>46074</c:v>
                </c:pt>
                <c:pt idx="14">
                  <c:v>46106</c:v>
                </c:pt>
                <c:pt idx="15">
                  <c:v>46138</c:v>
                </c:pt>
                <c:pt idx="16">
                  <c:v>46170</c:v>
                </c:pt>
                <c:pt idx="17">
                  <c:v>46202</c:v>
                </c:pt>
                <c:pt idx="18">
                  <c:v>46234</c:v>
                </c:pt>
                <c:pt idx="19">
                  <c:v>46266</c:v>
                </c:pt>
                <c:pt idx="20">
                  <c:v>46298</c:v>
                </c:pt>
                <c:pt idx="21">
                  <c:v>46330</c:v>
                </c:pt>
                <c:pt idx="22">
                  <c:v>46362</c:v>
                </c:pt>
                <c:pt idx="23">
                  <c:v>46394</c:v>
                </c:pt>
              </c:numCache>
            </c:numRef>
          </c:cat>
          <c:val>
            <c:numRef>
              <c:f>Sheet2!$D$4:$D$27</c:f>
              <c:numCache>
                <c:formatCode>General</c:formatCode>
                <c:ptCount val="24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9000</c:v>
                </c:pt>
                <c:pt idx="9">
                  <c:v>10000</c:v>
                </c:pt>
                <c:pt idx="10">
                  <c:v>11000</c:v>
                </c:pt>
                <c:pt idx="11">
                  <c:v>12000</c:v>
                </c:pt>
                <c:pt idx="12">
                  <c:v>13000</c:v>
                </c:pt>
                <c:pt idx="13">
                  <c:v>14000</c:v>
                </c:pt>
                <c:pt idx="14">
                  <c:v>15000</c:v>
                </c:pt>
                <c:pt idx="15">
                  <c:v>160</c:v>
                </c:pt>
                <c:pt idx="16">
                  <c:v>2323</c:v>
                </c:pt>
                <c:pt idx="17">
                  <c:v>2323</c:v>
                </c:pt>
                <c:pt idx="18">
                  <c:v>34534</c:v>
                </c:pt>
                <c:pt idx="19">
                  <c:v>2323</c:v>
                </c:pt>
                <c:pt idx="20">
                  <c:v>45345</c:v>
                </c:pt>
                <c:pt idx="21">
                  <c:v>53</c:v>
                </c:pt>
                <c:pt idx="22">
                  <c:v>2323</c:v>
                </c:pt>
                <c:pt idx="23">
                  <c:v>2323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460-4B13-B81B-355FC84BB9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46472496"/>
        <c:axId val="1646457264"/>
      </c:barChart>
      <c:dateAx>
        <c:axId val="1646472496"/>
        <c:scaling>
          <c:orientation val="minMax"/>
        </c:scaling>
        <c:delete val="0"/>
        <c:axPos val="b"/>
        <c:numFmt formatCode="[$-F800]dddd\,\ mmmm\ dd\,\ 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6457264"/>
        <c:crosses val="autoZero"/>
        <c:auto val="1"/>
        <c:lblOffset val="100"/>
        <c:baseTimeUnit val="months"/>
      </c:dateAx>
      <c:valAx>
        <c:axId val="1646457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6472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Sheet3!$C$2</c:f>
              <c:strCache>
                <c:ptCount val="1"/>
                <c:pt idx="0">
                  <c:v>EXP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Sheet3!$B$3:$B$9</c:f>
              <c:strCache>
                <c:ptCount val="7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</c:strCache>
            </c:strRef>
          </c:cat>
          <c:val>
            <c:numRef>
              <c:f>Sheet3!$C$3:$C$9</c:f>
              <c:numCache>
                <c:formatCode>General</c:formatCode>
                <c:ptCount val="7"/>
                <c:pt idx="0">
                  <c:v>62</c:v>
                </c:pt>
                <c:pt idx="1">
                  <c:v>67</c:v>
                </c:pt>
                <c:pt idx="2">
                  <c:v>51</c:v>
                </c:pt>
                <c:pt idx="3">
                  <c:v>53</c:v>
                </c:pt>
                <c:pt idx="4">
                  <c:v>22</c:v>
                </c:pt>
                <c:pt idx="5">
                  <c:v>22</c:v>
                </c:pt>
                <c:pt idx="6">
                  <c:v>10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7D3-48AB-AD15-EAFF19CF5A47}"/>
            </c:ext>
          </c:extLst>
        </c:ser>
        <c:ser>
          <c:idx val="2"/>
          <c:order val="2"/>
          <c:tx>
            <c:strRef>
              <c:f>Sheet3!$E$2</c:f>
              <c:strCache>
                <c:ptCount val="1"/>
                <c:pt idx="0">
                  <c:v>MAX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Sheet3!$B$3:$B$9</c:f>
              <c:strCache>
                <c:ptCount val="7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</c:strCache>
            </c:strRef>
          </c:cat>
          <c:val>
            <c:numRef>
              <c:f>Sheet3!$E$3:$E$9</c:f>
              <c:numCache>
                <c:formatCode>General</c:formatCode>
                <c:ptCount val="7"/>
                <c:pt idx="0">
                  <c:v>#N/A</c:v>
                </c:pt>
                <c:pt idx="1">
                  <c:v>67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47D3-48AB-AD15-EAFF19CF5A47}"/>
            </c:ext>
          </c:extLst>
        </c:ser>
        <c:ser>
          <c:idx val="3"/>
          <c:order val="3"/>
          <c:tx>
            <c:strRef>
              <c:f>Sheet3!$F$2</c:f>
              <c:strCache>
                <c:ptCount val="1"/>
                <c:pt idx="0">
                  <c:v>MIN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Sheet3!$B$3:$B$9</c:f>
              <c:strCache>
                <c:ptCount val="7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</c:strCache>
            </c:strRef>
          </c:cat>
          <c:val>
            <c:numRef>
              <c:f>Sheet3!$F$3:$F$9</c:f>
              <c:numCache>
                <c:formatCode>General</c:formatCode>
                <c:ptCount val="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10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47D3-48AB-AD15-EAFF19CF5A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646458352"/>
        <c:axId val="1646459440"/>
      </c:barChart>
      <c:lineChart>
        <c:grouping val="standard"/>
        <c:varyColors val="0"/>
        <c:ser>
          <c:idx val="1"/>
          <c:order val="1"/>
          <c:tx>
            <c:strRef>
              <c:f>Sheet3!$D$2</c:f>
              <c:strCache>
                <c:ptCount val="1"/>
                <c:pt idx="0">
                  <c:v>AVG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Sheet3!$B$3:$B$9</c:f>
              <c:strCache>
                <c:ptCount val="7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</c:strCache>
            </c:strRef>
          </c:cat>
          <c:val>
            <c:numRef>
              <c:f>Sheet3!$D$3:$D$9</c:f>
              <c:numCache>
                <c:formatCode>General</c:formatCode>
                <c:ptCount val="7"/>
                <c:pt idx="0">
                  <c:v>41</c:v>
                </c:pt>
                <c:pt idx="1">
                  <c:v>41</c:v>
                </c:pt>
                <c:pt idx="2">
                  <c:v>41</c:v>
                </c:pt>
                <c:pt idx="3">
                  <c:v>41</c:v>
                </c:pt>
                <c:pt idx="4">
                  <c:v>41</c:v>
                </c:pt>
                <c:pt idx="5">
                  <c:v>41</c:v>
                </c:pt>
                <c:pt idx="6">
                  <c:v>41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47D3-48AB-AD15-EAFF19CF5A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46458352"/>
        <c:axId val="1646459440"/>
      </c:lineChart>
      <c:catAx>
        <c:axId val="1646458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6459440"/>
        <c:crosses val="autoZero"/>
        <c:auto val="1"/>
        <c:lblAlgn val="ctr"/>
        <c:lblOffset val="100"/>
        <c:noMultiLvlLbl val="0"/>
      </c:catAx>
      <c:valAx>
        <c:axId val="1646459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6458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solidFill>
              <a:schemeClr val="accent1">
                <a:lumMod val="60000"/>
                <a:lumOff val="40000"/>
              </a:schemeClr>
            </a:solidFill>
          </c:spPr>
          <c:dPt>
            <c:idx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2-B364-4D4F-BE02-1A434330C58D}"/>
              </c:ext>
            </c:extLst>
          </c:dPt>
          <c:dPt>
            <c:idx val="1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cat>
            <c:strRef>
              <c:f>Sheet4!$B$3:$B$4</c:f>
              <c:strCache>
                <c:ptCount val="2"/>
                <c:pt idx="0">
                  <c:v>ACTUAL</c:v>
                </c:pt>
                <c:pt idx="1">
                  <c:v>REMAINING</c:v>
                </c:pt>
              </c:strCache>
            </c:strRef>
          </c:cat>
          <c:val>
            <c:numRef>
              <c:f>Sheet4!$C$3:$C$4</c:f>
              <c:numCache>
                <c:formatCode>General</c:formatCode>
                <c:ptCount val="2"/>
                <c:pt idx="0">
                  <c:v>42</c:v>
                </c:pt>
                <c:pt idx="1">
                  <c:v>24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364-4D4F-BE02-1A434330C5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Sheet4!$F$5:$F$11</c:f>
              <c:strCache>
                <c:ptCount val="7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</c:strCache>
            </c:strRef>
          </c:cat>
          <c:val>
            <c:numRef>
              <c:f>Sheet4!$G$5:$G$11</c:f>
              <c:numCache>
                <c:formatCode>General</c:formatCode>
                <c:ptCount val="7"/>
                <c:pt idx="0">
                  <c:v>27</c:v>
                </c:pt>
                <c:pt idx="1">
                  <c:v>18</c:v>
                </c:pt>
                <c:pt idx="2">
                  <c:v>48</c:v>
                </c:pt>
                <c:pt idx="3">
                  <c:v>42</c:v>
                </c:pt>
                <c:pt idx="4">
                  <c:v>31</c:v>
                </c:pt>
                <c:pt idx="5">
                  <c:v>28</c:v>
                </c:pt>
                <c:pt idx="6">
                  <c:v>33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A77-416A-B348-5FF101DBDF97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Sheet5!$D$9</c:f>
              <c:strCache>
                <c:ptCount val="1"/>
                <c:pt idx="0">
                  <c:v>TARGET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Sheet5!$D$10</c:f>
              <c:numCache>
                <c:formatCode>General</c:formatCode>
                <c:ptCount val="1"/>
                <c:pt idx="0">
                  <c:v>300000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D977-4B37-8013-CC12A7FB3D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43"/>
        <c:overlap val="-51"/>
        <c:axId val="1645387232"/>
        <c:axId val="1645393760"/>
      </c:barChart>
      <c:barChart>
        <c:barDir val="col"/>
        <c:grouping val="clustered"/>
        <c:varyColors val="0"/>
        <c:ser>
          <c:idx val="0"/>
          <c:order val="0"/>
          <c:tx>
            <c:strRef>
              <c:f>Sheet5!$B$9</c:f>
              <c:strCache>
                <c:ptCount val="1"/>
                <c:pt idx="0">
                  <c:v>MIN TARGET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JANUARY</c:v>
              </c:pt>
            </c:strLit>
          </c:cat>
          <c:val>
            <c:numRef>
              <c:f>Sheet5!$B$10</c:f>
              <c:numCache>
                <c:formatCode>General</c:formatCode>
                <c:ptCount val="1"/>
                <c:pt idx="0">
                  <c:v>200000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D977-4B37-8013-CC12A7FB3D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94"/>
        <c:overlap val="100"/>
        <c:axId val="1645386144"/>
        <c:axId val="1645383424"/>
      </c:barChart>
      <c:lineChart>
        <c:grouping val="standard"/>
        <c:varyColors val="0"/>
        <c:ser>
          <c:idx val="1"/>
          <c:order val="1"/>
          <c:tx>
            <c:strRef>
              <c:f>Sheet5!$C$9</c:f>
              <c:strCache>
                <c:ptCount val="1"/>
                <c:pt idx="0">
                  <c:v>ACTUAL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dash"/>
            <c:size val="18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Sheet5!$C$10</c:f>
              <c:numCache>
                <c:formatCode>General</c:formatCode>
                <c:ptCount val="1"/>
                <c:pt idx="0">
                  <c:v>130000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D977-4B37-8013-CC12A7FB3D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45386144"/>
        <c:axId val="1645383424"/>
      </c:lineChart>
      <c:catAx>
        <c:axId val="16453872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5393760"/>
        <c:crosses val="autoZero"/>
        <c:auto val="1"/>
        <c:lblAlgn val="ctr"/>
        <c:lblOffset val="100"/>
        <c:noMultiLvlLbl val="0"/>
      </c:catAx>
      <c:valAx>
        <c:axId val="1645393760"/>
        <c:scaling>
          <c:orientation val="minMax"/>
          <c:max val="30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5387232"/>
        <c:crosses val="autoZero"/>
        <c:crossBetween val="between"/>
      </c:valAx>
      <c:valAx>
        <c:axId val="1645383424"/>
        <c:scaling>
          <c:orientation val="minMax"/>
          <c:max val="30000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5386144"/>
        <c:crosses val="max"/>
        <c:crossBetween val="between"/>
      </c:valAx>
      <c:catAx>
        <c:axId val="164538614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4538342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CheckBox" fmlaLink="$F$1" lockText="1" noThreeD="1"/>
</file>

<file path=xl/ctrlProps/ctrlProp2.xml><?xml version="1.0" encoding="utf-8"?>
<formControlPr xmlns="http://schemas.microsoft.com/office/spreadsheetml/2009/9/main" objectType="CheckBox" fmlaLink="$E$1" lockText="1" noThreeD="1"/>
</file>

<file path=xl/ctrlProps/ctrlProp3.xml><?xml version="1.0" encoding="utf-8"?>
<formControlPr xmlns="http://schemas.microsoft.com/office/spreadsheetml/2009/9/main" objectType="CheckBox" fmlaLink="$D$1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352425</xdr:colOff>
      <xdr:row>6</xdr:row>
      <xdr:rowOff>38099</xdr:rowOff>
    </xdr:from>
    <xdr:ext cx="2343150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xmlns="" id="{D031EE8D-636C-43FD-97D7-CAD9B09E995D}"/>
            </a:ext>
          </a:extLst>
        </xdr:cNvPr>
        <xdr:cNvSpPr txBox="1"/>
      </xdr:nvSpPr>
      <xdr:spPr>
        <a:xfrm>
          <a:off x="3400425" y="1181099"/>
          <a:ext cx="234315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37</xdr:col>
      <xdr:colOff>53506</xdr:colOff>
      <xdr:row>2</xdr:row>
      <xdr:rowOff>69348</xdr:rowOff>
    </xdr:from>
    <xdr:to>
      <xdr:col>45</xdr:col>
      <xdr:colOff>209550</xdr:colOff>
      <xdr:row>8</xdr:row>
      <xdr:rowOff>80180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xmlns="" id="{078E7613-BE01-4F30-8D60-EDF0F51BEB57}"/>
            </a:ext>
          </a:extLst>
        </xdr:cNvPr>
        <xdr:cNvGrpSpPr/>
      </xdr:nvGrpSpPr>
      <xdr:grpSpPr>
        <a:xfrm>
          <a:off x="9216556" y="450348"/>
          <a:ext cx="2137244" cy="1153832"/>
          <a:chOff x="19223284" y="-244977"/>
          <a:chExt cx="5203892" cy="1153832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xmlns="" id="{D735BF32-AAA8-4B35-820D-55E61387FA2A}"/>
              </a:ext>
            </a:extLst>
          </xdr:cNvPr>
          <xdr:cNvSpPr/>
        </xdr:nvSpPr>
        <xdr:spPr>
          <a:xfrm>
            <a:off x="19223284" y="-244977"/>
            <a:ext cx="4712637" cy="937629"/>
          </a:xfrm>
          <a:prstGeom prst="rect">
            <a:avLst/>
          </a:prstGeom>
          <a:noFill/>
        </xdr:spPr>
        <xdr:txBody>
          <a:bodyPr wrap="none" lIns="91440" tIns="45720" rIns="91440" bIns="45720">
            <a:spAutoFit/>
          </a:bodyPr>
          <a:lstStyle/>
          <a:p>
            <a:pPr algn="ctr"/>
            <a:r>
              <a:rPr lang="en-US" sz="5400" b="0" cap="none" spc="0">
                <a:ln w="0"/>
                <a:gradFill>
                  <a:gsLst>
                    <a:gs pos="0">
                      <a:schemeClr val="accent5">
                        <a:lumMod val="50000"/>
                      </a:schemeClr>
                    </a:gs>
                    <a:gs pos="50000">
                      <a:schemeClr val="accent5"/>
                    </a:gs>
                    <a:gs pos="100000">
                      <a:schemeClr val="accent5">
                        <a:lumMod val="60000"/>
                        <a:lumOff val="40000"/>
                      </a:schemeClr>
                    </a:gs>
                  </a:gsLst>
                  <a:lin ang="5400000"/>
                </a:gradFill>
                <a:effectLst>
                  <a:reflection blurRad="6350" stA="53000" endA="300" endPos="35500" dir="5400000" sy="-90000" algn="bl" rotWithShape="0"/>
                </a:effectLst>
              </a:rPr>
              <a:t>DANPAK FOODS</a:t>
            </a:r>
          </a:p>
        </xdr:txBody>
      </xdr:sp>
      <xdr:sp macro="" textlink="">
        <xdr:nvSpPr>
          <xdr:cNvPr id="4" name="TextBox 3">
            <a:extLst>
              <a:ext uri="{FF2B5EF4-FFF2-40B4-BE49-F238E27FC236}">
                <a16:creationId xmlns:a16="http://schemas.microsoft.com/office/drawing/2014/main" xmlns="" id="{5409F2EF-870D-4E9D-92A3-19A1B4513EAF}"/>
              </a:ext>
            </a:extLst>
          </xdr:cNvPr>
          <xdr:cNvSpPr txBox="1"/>
        </xdr:nvSpPr>
        <xdr:spPr>
          <a:xfrm>
            <a:off x="19273223" y="628650"/>
            <a:ext cx="5153953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en-US" sz="1200" b="1"/>
              <a:t>PRODUCTION</a:t>
            </a:r>
            <a:r>
              <a:rPr lang="en-US" sz="1200" b="1" baseline="0"/>
              <a:t> DEPARTMENT</a:t>
            </a:r>
            <a:endParaRPr lang="en-US" sz="1200" b="1"/>
          </a:p>
        </xdr:txBody>
      </xdr:sp>
    </xdr:grpSp>
    <xdr:clientData/>
  </xdr:twoCellAnchor>
  <xdr:oneCellAnchor>
    <xdr:from>
      <xdr:col>12</xdr:col>
      <xdr:colOff>107659</xdr:colOff>
      <xdr:row>16</xdr:row>
      <xdr:rowOff>31248</xdr:rowOff>
    </xdr:from>
    <xdr:ext cx="184731" cy="937629"/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xmlns="" id="{A03CAA48-3BBA-462E-A522-1F5595360A4A}"/>
            </a:ext>
          </a:extLst>
        </xdr:cNvPr>
        <xdr:cNvSpPr/>
      </xdr:nvSpPr>
      <xdr:spPr>
        <a:xfrm>
          <a:off x="7422859" y="3079248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twoCellAnchor>
    <xdr:from>
      <xdr:col>0</xdr:col>
      <xdr:colOff>38100</xdr:colOff>
      <xdr:row>2</xdr:row>
      <xdr:rowOff>66675</xdr:rowOff>
    </xdr:from>
    <xdr:to>
      <xdr:col>26</xdr:col>
      <xdr:colOff>9525</xdr:colOff>
      <xdr:row>25</xdr:row>
      <xdr:rowOff>9525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xmlns="" id="{30A5CA87-3ED3-41AC-9E86-2D9393BFF04D}"/>
            </a:ext>
          </a:extLst>
        </xdr:cNvPr>
        <xdr:cNvSpPr/>
      </xdr:nvSpPr>
      <xdr:spPr>
        <a:xfrm>
          <a:off x="38100" y="447675"/>
          <a:ext cx="6410325" cy="4324350"/>
        </a:xfrm>
        <a:prstGeom prst="rect">
          <a:avLst/>
        </a:prstGeom>
        <a:solidFill>
          <a:schemeClr val="tx1">
            <a:lumMod val="65000"/>
            <a:lumOff val="35000"/>
          </a:schemeClr>
        </a:solidFill>
      </xdr:spPr>
      <xdr:style>
        <a:lnRef idx="2">
          <a:schemeClr val="accent1">
            <a:shade val="50000"/>
          </a:schemeClr>
        </a:lnRef>
        <a:fillRef idx="1003">
          <a:schemeClr val="lt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200025</xdr:colOff>
      <xdr:row>4</xdr:row>
      <xdr:rowOff>0</xdr:rowOff>
    </xdr:from>
    <xdr:to>
      <xdr:col>6</xdr:col>
      <xdr:colOff>219075</xdr:colOff>
      <xdr:row>23</xdr:row>
      <xdr:rowOff>180975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xmlns="" id="{C39776C6-96AD-42F0-BB0A-09F67F6F5F9E}"/>
            </a:ext>
          </a:extLst>
        </xdr:cNvPr>
        <xdr:cNvSpPr/>
      </xdr:nvSpPr>
      <xdr:spPr>
        <a:xfrm>
          <a:off x="447675" y="762000"/>
          <a:ext cx="1257300" cy="3800475"/>
        </a:xfrm>
        <a:prstGeom prst="roundRect">
          <a:avLst/>
        </a:prstGeom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9525</xdr:colOff>
      <xdr:row>3</xdr:row>
      <xdr:rowOff>190499</xdr:rowOff>
    </xdr:from>
    <xdr:to>
      <xdr:col>25</xdr:col>
      <xdr:colOff>19050</xdr:colOff>
      <xdr:row>13</xdr:row>
      <xdr:rowOff>0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xmlns="" id="{20A3E510-04D1-41F2-805B-3CF68C553DE7}"/>
            </a:ext>
          </a:extLst>
        </xdr:cNvPr>
        <xdr:cNvSpPr/>
      </xdr:nvSpPr>
      <xdr:spPr>
        <a:xfrm>
          <a:off x="2733675" y="761999"/>
          <a:ext cx="3476625" cy="1714501"/>
        </a:xfrm>
        <a:prstGeom prst="roundRect">
          <a:avLst>
            <a:gd name="adj" fmla="val 0"/>
          </a:avLst>
        </a:prstGeom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47625</xdr:colOff>
      <xdr:row>7</xdr:row>
      <xdr:rowOff>0</xdr:rowOff>
    </xdr:from>
    <xdr:to>
      <xdr:col>8</xdr:col>
      <xdr:colOff>200025</xdr:colOff>
      <xdr:row>9</xdr:row>
      <xdr:rowOff>9525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xmlns="" id="{75C31E72-5F54-41B6-B673-57EC609ABF8A}"/>
            </a:ext>
          </a:extLst>
        </xdr:cNvPr>
        <xdr:cNvSpPr/>
      </xdr:nvSpPr>
      <xdr:spPr>
        <a:xfrm>
          <a:off x="1038225" y="1333500"/>
          <a:ext cx="1143000" cy="390525"/>
        </a:xfrm>
        <a:prstGeom prst="roundRect">
          <a:avLst>
            <a:gd name="adj" fmla="val 50000"/>
          </a:avLst>
        </a:prstGeom>
        <a:solidFill>
          <a:schemeClr val="accent5">
            <a:lumMod val="40000"/>
            <a:lumOff val="60000"/>
          </a:schemeClr>
        </a:solidFill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57150</xdr:colOff>
      <xdr:row>10</xdr:row>
      <xdr:rowOff>9525</xdr:rowOff>
    </xdr:from>
    <xdr:to>
      <xdr:col>8</xdr:col>
      <xdr:colOff>209550</xdr:colOff>
      <xdr:row>12</xdr:row>
      <xdr:rowOff>19050</xdr:rowOff>
    </xdr:to>
    <xdr:sp macro="" textlink="">
      <xdr:nvSpPr>
        <xdr:cNvPr id="17" name="Rectangle: Rounded Corners 16">
          <a:extLst>
            <a:ext uri="{FF2B5EF4-FFF2-40B4-BE49-F238E27FC236}">
              <a16:creationId xmlns:a16="http://schemas.microsoft.com/office/drawing/2014/main" xmlns="" id="{40F3B7C5-BA64-4598-8CC1-FE558359378A}"/>
            </a:ext>
          </a:extLst>
        </xdr:cNvPr>
        <xdr:cNvSpPr/>
      </xdr:nvSpPr>
      <xdr:spPr>
        <a:xfrm>
          <a:off x="1047750" y="1914525"/>
          <a:ext cx="1143000" cy="390525"/>
        </a:xfrm>
        <a:prstGeom prst="roundRect">
          <a:avLst>
            <a:gd name="adj" fmla="val 50000"/>
          </a:avLst>
        </a:prstGeom>
        <a:solidFill>
          <a:schemeClr val="accent5">
            <a:lumMod val="40000"/>
            <a:lumOff val="60000"/>
          </a:schemeClr>
        </a:solidFill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66675</xdr:colOff>
      <xdr:row>12</xdr:row>
      <xdr:rowOff>180975</xdr:rowOff>
    </xdr:from>
    <xdr:to>
      <xdr:col>8</xdr:col>
      <xdr:colOff>219075</xdr:colOff>
      <xdr:row>15</xdr:row>
      <xdr:rowOff>0</xdr:rowOff>
    </xdr:to>
    <xdr:sp macro="" textlink="">
      <xdr:nvSpPr>
        <xdr:cNvPr id="18" name="Rectangle: Rounded Corners 17">
          <a:extLst>
            <a:ext uri="{FF2B5EF4-FFF2-40B4-BE49-F238E27FC236}">
              <a16:creationId xmlns:a16="http://schemas.microsoft.com/office/drawing/2014/main" xmlns="" id="{E5A6F5FD-A98D-43B9-9F5C-A07E7B16E568}"/>
            </a:ext>
          </a:extLst>
        </xdr:cNvPr>
        <xdr:cNvSpPr/>
      </xdr:nvSpPr>
      <xdr:spPr>
        <a:xfrm>
          <a:off x="1057275" y="2466975"/>
          <a:ext cx="1143000" cy="390525"/>
        </a:xfrm>
        <a:prstGeom prst="roundRect">
          <a:avLst>
            <a:gd name="adj" fmla="val 50000"/>
          </a:avLst>
        </a:prstGeom>
        <a:solidFill>
          <a:schemeClr val="accent5">
            <a:lumMod val="40000"/>
            <a:lumOff val="60000"/>
          </a:schemeClr>
        </a:solidFill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57150</xdr:colOff>
      <xdr:row>19</xdr:row>
      <xdr:rowOff>9525</xdr:rowOff>
    </xdr:from>
    <xdr:to>
      <xdr:col>8</xdr:col>
      <xdr:colOff>209550</xdr:colOff>
      <xdr:row>21</xdr:row>
      <xdr:rowOff>19050</xdr:rowOff>
    </xdr:to>
    <xdr:sp macro="" textlink="">
      <xdr:nvSpPr>
        <xdr:cNvPr id="19" name="Rectangle: Rounded Corners 18">
          <a:extLst>
            <a:ext uri="{FF2B5EF4-FFF2-40B4-BE49-F238E27FC236}">
              <a16:creationId xmlns:a16="http://schemas.microsoft.com/office/drawing/2014/main" xmlns="" id="{0D6AC904-54CB-4A80-A8EF-3D02AEFDF50F}"/>
            </a:ext>
          </a:extLst>
        </xdr:cNvPr>
        <xdr:cNvSpPr/>
      </xdr:nvSpPr>
      <xdr:spPr>
        <a:xfrm>
          <a:off x="1047750" y="3629025"/>
          <a:ext cx="1143000" cy="390525"/>
        </a:xfrm>
        <a:prstGeom prst="roundRect">
          <a:avLst>
            <a:gd name="adj" fmla="val 50000"/>
          </a:avLst>
        </a:prstGeom>
        <a:solidFill>
          <a:schemeClr val="accent5">
            <a:lumMod val="40000"/>
            <a:lumOff val="60000"/>
          </a:schemeClr>
        </a:solidFill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66675</xdr:colOff>
      <xdr:row>16</xdr:row>
      <xdr:rowOff>0</xdr:rowOff>
    </xdr:from>
    <xdr:to>
      <xdr:col>8</xdr:col>
      <xdr:colOff>219075</xdr:colOff>
      <xdr:row>18</xdr:row>
      <xdr:rowOff>9525</xdr:rowOff>
    </xdr:to>
    <xdr:sp macro="" textlink="">
      <xdr:nvSpPr>
        <xdr:cNvPr id="20" name="Rectangle: Rounded Corners 19">
          <a:extLst>
            <a:ext uri="{FF2B5EF4-FFF2-40B4-BE49-F238E27FC236}">
              <a16:creationId xmlns:a16="http://schemas.microsoft.com/office/drawing/2014/main" xmlns="" id="{B2EB7BE0-9F49-4584-B261-75AC9B646FF7}"/>
            </a:ext>
          </a:extLst>
        </xdr:cNvPr>
        <xdr:cNvSpPr/>
      </xdr:nvSpPr>
      <xdr:spPr>
        <a:xfrm>
          <a:off x="1057275" y="3048000"/>
          <a:ext cx="1143000" cy="390525"/>
        </a:xfrm>
        <a:prstGeom prst="roundRect">
          <a:avLst>
            <a:gd name="adj" fmla="val 50000"/>
          </a:avLst>
        </a:prstGeom>
        <a:solidFill>
          <a:schemeClr val="accent5">
            <a:lumMod val="40000"/>
            <a:lumOff val="60000"/>
          </a:schemeClr>
        </a:solidFill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14</xdr:row>
      <xdr:rowOff>9524</xdr:rowOff>
    </xdr:from>
    <xdr:to>
      <xdr:col>25</xdr:col>
      <xdr:colOff>9525</xdr:colOff>
      <xdr:row>23</xdr:row>
      <xdr:rowOff>9525</xdr:rowOff>
    </xdr:to>
    <xdr:sp macro="" textlink="">
      <xdr:nvSpPr>
        <xdr:cNvPr id="21" name="Rectangle: Rounded Corners 20">
          <a:extLst>
            <a:ext uri="{FF2B5EF4-FFF2-40B4-BE49-F238E27FC236}">
              <a16:creationId xmlns:a16="http://schemas.microsoft.com/office/drawing/2014/main" xmlns="" id="{0785EB7D-470A-4FAF-B28D-B8A5B0E5BE94}"/>
            </a:ext>
          </a:extLst>
        </xdr:cNvPr>
        <xdr:cNvSpPr/>
      </xdr:nvSpPr>
      <xdr:spPr>
        <a:xfrm>
          <a:off x="2724150" y="2676524"/>
          <a:ext cx="3476625" cy="1714501"/>
        </a:xfrm>
        <a:prstGeom prst="roundRect">
          <a:avLst>
            <a:gd name="adj" fmla="val 0"/>
          </a:avLst>
        </a:prstGeom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11</xdr:col>
      <xdr:colOff>85725</xdr:colOff>
      <xdr:row>4</xdr:row>
      <xdr:rowOff>114299</xdr:rowOff>
    </xdr:from>
    <xdr:to>
      <xdr:col>19</xdr:col>
      <xdr:colOff>238125</xdr:colOff>
      <xdr:row>6</xdr:row>
      <xdr:rowOff>118533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xmlns="" id="{7021D693-0778-4006-914D-3F8B3AF40A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duotone>
            <a:schemeClr val="accent2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2809875" y="876299"/>
          <a:ext cx="2133600" cy="38523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590549</xdr:colOff>
      <xdr:row>22</xdr:row>
      <xdr:rowOff>158749</xdr:rowOff>
    </xdr:from>
    <xdr:to>
      <xdr:col>12</xdr:col>
      <xdr:colOff>179916</xdr:colOff>
      <xdr:row>28</xdr:row>
      <xdr:rowOff>135466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xmlns="" id="{74E60C01-5516-4DE3-B4B9-5D0BFECFB1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28575</xdr:colOff>
      <xdr:row>28</xdr:row>
      <xdr:rowOff>16404</xdr:rowOff>
    </xdr:from>
    <xdr:to>
      <xdr:col>15</xdr:col>
      <xdr:colOff>9525</xdr:colOff>
      <xdr:row>36</xdr:row>
      <xdr:rowOff>97367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xmlns="" id="{AA7523CB-94BD-435E-8B30-2D64EA600A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27517</xdr:colOff>
      <xdr:row>8</xdr:row>
      <xdr:rowOff>18520</xdr:rowOff>
    </xdr:from>
    <xdr:to>
      <xdr:col>16</xdr:col>
      <xdr:colOff>332317</xdr:colOff>
      <xdr:row>22</xdr:row>
      <xdr:rowOff>94720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xmlns="" id="{0087DB5D-081F-42C8-A311-851D96DEB2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238125</xdr:colOff>
      <xdr:row>5</xdr:row>
      <xdr:rowOff>23812</xdr:rowOff>
    </xdr:from>
    <xdr:to>
      <xdr:col>16</xdr:col>
      <xdr:colOff>542925</xdr:colOff>
      <xdr:row>19</xdr:row>
      <xdr:rowOff>100012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DEFE9BAF-9D40-4EB6-BC08-4B67D1C408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257175</xdr:colOff>
          <xdr:row>3</xdr:row>
          <xdr:rowOff>85725</xdr:rowOff>
        </xdr:from>
        <xdr:to>
          <xdr:col>8</xdr:col>
          <xdr:colOff>447675</xdr:colOff>
          <xdr:row>4</xdr:row>
          <xdr:rowOff>104775</xdr:rowOff>
        </xdr:to>
        <xdr:sp macro="" textlink="">
          <xdr:nvSpPr>
            <xdr:cNvPr id="3073" name="Check Box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xmlns="" id="{00000000-0008-0000-02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MIN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314325</xdr:colOff>
          <xdr:row>5</xdr:row>
          <xdr:rowOff>114300</xdr:rowOff>
        </xdr:from>
        <xdr:to>
          <xdr:col>8</xdr:col>
          <xdr:colOff>504825</xdr:colOff>
          <xdr:row>6</xdr:row>
          <xdr:rowOff>133350</xdr:rowOff>
        </xdr:to>
        <xdr:sp macro="" textlink="">
          <xdr:nvSpPr>
            <xdr:cNvPr id="3074" name="Check Box 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xmlns="" id="{00000000-0008-0000-02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MAX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400050</xdr:colOff>
          <xdr:row>8</xdr:row>
          <xdr:rowOff>57150</xdr:rowOff>
        </xdr:from>
        <xdr:to>
          <xdr:col>8</xdr:col>
          <xdr:colOff>590550</xdr:colOff>
          <xdr:row>9</xdr:row>
          <xdr:rowOff>76200</xdr:rowOff>
        </xdr:to>
        <xdr:sp macro="" textlink="">
          <xdr:nvSpPr>
            <xdr:cNvPr id="3075" name="Check Box 3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xmlns="" id="{00000000-0008-0000-02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AVG</a:t>
              </a:r>
            </a:p>
          </xdr:txBody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142875</xdr:colOff>
      <xdr:row>1</xdr:row>
      <xdr:rowOff>80962</xdr:rowOff>
    </xdr:from>
    <xdr:to>
      <xdr:col>4</xdr:col>
      <xdr:colOff>257175</xdr:colOff>
      <xdr:row>4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957FECD4-196E-43B2-98CF-F9297DEB6B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76200</xdr:colOff>
      <xdr:row>7</xdr:row>
      <xdr:rowOff>71437</xdr:rowOff>
    </xdr:from>
    <xdr:to>
      <xdr:col>14</xdr:col>
      <xdr:colOff>0</xdr:colOff>
      <xdr:row>20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xmlns="" id="{B7830876-A13A-401E-B098-B55541169D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90487</xdr:colOff>
      <xdr:row>2</xdr:row>
      <xdr:rowOff>0</xdr:rowOff>
    </xdr:from>
    <xdr:to>
      <xdr:col>12</xdr:col>
      <xdr:colOff>0</xdr:colOff>
      <xdr:row>23</xdr:row>
      <xdr:rowOff>190499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3041A552-D274-41A8-9ED3-BF38BDAFEE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view="pageBreakPreview" zoomScaleNormal="100" zoomScaleSheetLayoutView="100" workbookViewId="0">
      <selection activeCell="V2" sqref="V2"/>
    </sheetView>
  </sheetViews>
  <sheetFormatPr defaultColWidth="3.7109375" defaultRowHeight="15" x14ac:dyDescent="0.25"/>
  <cols>
    <col min="49" max="49" width="2.85546875" customWidth="1"/>
  </cols>
  <sheetData/>
  <customSheetViews>
    <customSheetView guid="{592DC52D-BE16-485D-AE14-EFCBC230D3DB}" showRowCol="0">
      <selection activeCell="A2" sqref="A2"/>
      <pageMargins left="0.7" right="0.7" top="0.75" bottom="0.75" header="0.3" footer="0.3"/>
    </customSheetView>
  </customSheetViews>
  <pageMargins left="0.7" right="0.7" top="0.75" bottom="0.75" header="0.3" footer="0.3"/>
  <pageSetup orientation="portrait" horizontalDpi="30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N33"/>
  <sheetViews>
    <sheetView tabSelected="1" zoomScale="90" zoomScaleNormal="90" workbookViewId="0">
      <selection activeCell="R34" sqref="R34"/>
    </sheetView>
  </sheetViews>
  <sheetFormatPr defaultRowHeight="15" x14ac:dyDescent="0.25"/>
  <cols>
    <col min="3" max="3" width="28.85546875" bestFit="1" customWidth="1"/>
    <col min="7" max="7" width="12.28515625" customWidth="1"/>
  </cols>
  <sheetData>
    <row r="2" spans="3:14" x14ac:dyDescent="0.25">
      <c r="F2">
        <v>1</v>
      </c>
    </row>
    <row r="3" spans="3:14" x14ac:dyDescent="0.25">
      <c r="C3" t="s">
        <v>0</v>
      </c>
      <c r="D3" t="s">
        <v>1</v>
      </c>
      <c r="J3" t="s">
        <v>2</v>
      </c>
      <c r="K3" t="s">
        <v>1</v>
      </c>
      <c r="N3" t="s">
        <v>3</v>
      </c>
    </row>
    <row r="4" spans="3:14" x14ac:dyDescent="0.25">
      <c r="C4" s="2">
        <v>45658</v>
      </c>
      <c r="D4">
        <v>1000</v>
      </c>
      <c r="F4" t="s">
        <v>4</v>
      </c>
      <c r="G4" t="s">
        <v>0</v>
      </c>
      <c r="H4" t="s">
        <v>1</v>
      </c>
      <c r="J4">
        <v>2022</v>
      </c>
      <c r="K4">
        <v>10000</v>
      </c>
      <c r="N4">
        <v>12334</v>
      </c>
    </row>
    <row r="5" spans="3:14" x14ac:dyDescent="0.25">
      <c r="C5" s="2">
        <v>45690</v>
      </c>
      <c r="D5">
        <v>2000</v>
      </c>
      <c r="F5">
        <v>1</v>
      </c>
      <c r="G5" s="1">
        <f ca="1">OFFSET(C3,1,0)</f>
        <v>45658</v>
      </c>
      <c r="J5">
        <v>2023</v>
      </c>
      <c r="K5">
        <v>20000</v>
      </c>
      <c r="N5">
        <v>4124</v>
      </c>
    </row>
    <row r="6" spans="3:14" x14ac:dyDescent="0.25">
      <c r="C6" s="2">
        <v>45722</v>
      </c>
      <c r="D6">
        <v>3000</v>
      </c>
      <c r="F6">
        <f>F5+1</f>
        <v>2</v>
      </c>
      <c r="G6" s="1">
        <f t="shared" ref="G6:G14" ca="1" si="0">OFFSET(C4,1,0)</f>
        <v>45690</v>
      </c>
      <c r="J6">
        <v>2024</v>
      </c>
      <c r="K6">
        <v>30000</v>
      </c>
      <c r="N6">
        <v>13414</v>
      </c>
    </row>
    <row r="7" spans="3:14" x14ac:dyDescent="0.25">
      <c r="C7" s="2">
        <v>45754</v>
      </c>
      <c r="D7">
        <v>4000</v>
      </c>
      <c r="F7">
        <f>F6+1</f>
        <v>3</v>
      </c>
      <c r="G7" s="1">
        <f t="shared" ca="1" si="0"/>
        <v>45722</v>
      </c>
    </row>
    <row r="8" spans="3:14" x14ac:dyDescent="0.25">
      <c r="C8" s="2">
        <v>45786</v>
      </c>
      <c r="D8">
        <v>5000</v>
      </c>
      <c r="F8">
        <f t="shared" ref="F8:F14" si="1">F7+1</f>
        <v>4</v>
      </c>
      <c r="G8" s="1">
        <f t="shared" ca="1" si="0"/>
        <v>45754</v>
      </c>
    </row>
    <row r="9" spans="3:14" x14ac:dyDescent="0.25">
      <c r="C9" s="2">
        <v>45818</v>
      </c>
      <c r="D9">
        <v>6000</v>
      </c>
      <c r="F9">
        <f t="shared" si="1"/>
        <v>5</v>
      </c>
      <c r="G9" s="1">
        <f t="shared" ca="1" si="0"/>
        <v>45786</v>
      </c>
    </row>
    <row r="10" spans="3:14" x14ac:dyDescent="0.25">
      <c r="C10" s="2">
        <v>45850</v>
      </c>
      <c r="D10">
        <v>7000</v>
      </c>
      <c r="F10">
        <f t="shared" si="1"/>
        <v>6</v>
      </c>
      <c r="G10" s="1">
        <f t="shared" ca="1" si="0"/>
        <v>45818</v>
      </c>
    </row>
    <row r="11" spans="3:14" x14ac:dyDescent="0.25">
      <c r="C11" s="2">
        <v>45882</v>
      </c>
      <c r="D11">
        <v>8000</v>
      </c>
      <c r="F11">
        <f t="shared" si="1"/>
        <v>7</v>
      </c>
      <c r="G11" s="1">
        <f t="shared" ca="1" si="0"/>
        <v>45850</v>
      </c>
    </row>
    <row r="12" spans="3:14" x14ac:dyDescent="0.25">
      <c r="C12" s="2">
        <v>45914</v>
      </c>
      <c r="D12">
        <v>9000</v>
      </c>
      <c r="F12">
        <f t="shared" si="1"/>
        <v>8</v>
      </c>
      <c r="G12" s="1">
        <f t="shared" ca="1" si="0"/>
        <v>45882</v>
      </c>
    </row>
    <row r="13" spans="3:14" x14ac:dyDescent="0.25">
      <c r="C13" s="2">
        <v>45946</v>
      </c>
      <c r="D13">
        <v>10000</v>
      </c>
      <c r="F13">
        <f t="shared" si="1"/>
        <v>9</v>
      </c>
      <c r="G13" s="1">
        <f t="shared" ca="1" si="0"/>
        <v>45914</v>
      </c>
    </row>
    <row r="14" spans="3:14" x14ac:dyDescent="0.25">
      <c r="C14" s="2">
        <v>45978</v>
      </c>
      <c r="D14">
        <v>11000</v>
      </c>
      <c r="F14">
        <f t="shared" si="1"/>
        <v>10</v>
      </c>
      <c r="G14" s="1">
        <f t="shared" ca="1" si="0"/>
        <v>45946</v>
      </c>
    </row>
    <row r="15" spans="3:14" x14ac:dyDescent="0.25">
      <c r="C15" s="2">
        <v>46010</v>
      </c>
      <c r="D15">
        <v>12000</v>
      </c>
    </row>
    <row r="16" spans="3:14" x14ac:dyDescent="0.25">
      <c r="C16" s="2">
        <v>46042</v>
      </c>
      <c r="D16">
        <v>13000</v>
      </c>
      <c r="G16" s="1"/>
    </row>
    <row r="17" spans="3:7" x14ac:dyDescent="0.25">
      <c r="C17" s="2">
        <v>46074</v>
      </c>
      <c r="D17">
        <v>14000</v>
      </c>
      <c r="G17" s="1"/>
    </row>
    <row r="18" spans="3:7" x14ac:dyDescent="0.25">
      <c r="C18" s="2">
        <v>46106</v>
      </c>
      <c r="D18">
        <v>15000</v>
      </c>
      <c r="G18" s="1"/>
    </row>
    <row r="19" spans="3:7" x14ac:dyDescent="0.25">
      <c r="C19" s="2">
        <v>46138</v>
      </c>
      <c r="D19">
        <v>160</v>
      </c>
      <c r="G19" s="1"/>
    </row>
    <row r="20" spans="3:7" x14ac:dyDescent="0.25">
      <c r="C20" s="2">
        <v>46170</v>
      </c>
      <c r="D20">
        <v>2323</v>
      </c>
      <c r="G20" s="1"/>
    </row>
    <row r="21" spans="3:7" x14ac:dyDescent="0.25">
      <c r="C21" s="2">
        <v>46202</v>
      </c>
      <c r="D21">
        <v>2323</v>
      </c>
      <c r="G21" s="1"/>
    </row>
    <row r="22" spans="3:7" x14ac:dyDescent="0.25">
      <c r="C22" s="2">
        <v>46234</v>
      </c>
      <c r="D22">
        <v>34534</v>
      </c>
      <c r="G22" s="1"/>
    </row>
    <row r="23" spans="3:7" x14ac:dyDescent="0.25">
      <c r="C23" s="2">
        <v>46266</v>
      </c>
      <c r="D23">
        <v>2323</v>
      </c>
      <c r="G23" s="1"/>
    </row>
    <row r="24" spans="3:7" x14ac:dyDescent="0.25">
      <c r="C24" s="2">
        <v>46298</v>
      </c>
      <c r="D24">
        <v>45345</v>
      </c>
      <c r="G24" s="1"/>
    </row>
    <row r="25" spans="3:7" x14ac:dyDescent="0.25">
      <c r="C25" s="2">
        <v>46330</v>
      </c>
      <c r="D25">
        <v>53</v>
      </c>
      <c r="G25" s="1"/>
    </row>
    <row r="26" spans="3:7" x14ac:dyDescent="0.25">
      <c r="C26" s="2">
        <v>46362</v>
      </c>
      <c r="D26">
        <v>2323</v>
      </c>
      <c r="G26" s="1"/>
    </row>
    <row r="27" spans="3:7" x14ac:dyDescent="0.25">
      <c r="C27" s="2">
        <v>46394</v>
      </c>
      <c r="D27">
        <v>2323</v>
      </c>
      <c r="G27" s="1"/>
    </row>
    <row r="28" spans="3:7" x14ac:dyDescent="0.25">
      <c r="C28" s="2">
        <v>46395</v>
      </c>
      <c r="D28">
        <v>2324</v>
      </c>
      <c r="G28" s="1"/>
    </row>
    <row r="29" spans="3:7" x14ac:dyDescent="0.25">
      <c r="C29" s="2">
        <v>46396</v>
      </c>
      <c r="D29">
        <v>2325</v>
      </c>
      <c r="G29" s="1"/>
    </row>
    <row r="30" spans="3:7" x14ac:dyDescent="0.25">
      <c r="C30" s="2">
        <v>46397</v>
      </c>
      <c r="D30">
        <v>2326</v>
      </c>
      <c r="G30" s="1"/>
    </row>
    <row r="31" spans="3:7" x14ac:dyDescent="0.25">
      <c r="C31" s="2">
        <v>46398</v>
      </c>
      <c r="D31">
        <v>2327</v>
      </c>
      <c r="G31" s="1"/>
    </row>
    <row r="32" spans="3:7" x14ac:dyDescent="0.25">
      <c r="C32" s="2">
        <v>46399</v>
      </c>
      <c r="D32">
        <v>2328</v>
      </c>
      <c r="G32" s="1"/>
    </row>
    <row r="33" spans="7:7" x14ac:dyDescent="0.25">
      <c r="G33" s="1"/>
    </row>
  </sheetData>
  <customSheetViews>
    <customSheetView guid="{592DC52D-BE16-485D-AE14-EFCBC230D3DB}">
      <selection activeCell="C7" sqref="C7"/>
      <pageMargins left="0.7" right="0.7" top="0.75" bottom="0.75" header="0.3" footer="0.3"/>
    </customSheetView>
  </customSheetView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F9"/>
  <sheetViews>
    <sheetView workbookViewId="0">
      <selection activeCell="F20" sqref="F20"/>
    </sheetView>
  </sheetViews>
  <sheetFormatPr defaultRowHeight="15" x14ac:dyDescent="0.25"/>
  <sheetData>
    <row r="1" spans="2:6" x14ac:dyDescent="0.25">
      <c r="D1" t="b">
        <v>0</v>
      </c>
      <c r="E1" t="b">
        <v>0</v>
      </c>
      <c r="F1" t="b">
        <v>0</v>
      </c>
    </row>
    <row r="2" spans="2:6" x14ac:dyDescent="0.25">
      <c r="B2" t="s">
        <v>12</v>
      </c>
      <c r="C2" t="s">
        <v>1</v>
      </c>
      <c r="D2" t="s">
        <v>13</v>
      </c>
      <c r="E2" t="s">
        <v>14</v>
      </c>
      <c r="F2" t="s">
        <v>15</v>
      </c>
    </row>
    <row r="3" spans="2:6" x14ac:dyDescent="0.25">
      <c r="B3" t="s">
        <v>5</v>
      </c>
      <c r="C3">
        <f ca="1">RANDBETWEEN(10,100)</f>
        <v>62</v>
      </c>
      <c r="D3">
        <f ca="1">AVERAGE($C$3:$C$9)</f>
        <v>41</v>
      </c>
      <c r="E3" t="e">
        <f ca="1">IF(C3= MAX($C$3:$C$9),C3,NA())</f>
        <v>#N/A</v>
      </c>
      <c r="F3" t="e">
        <f ca="1">IF(C3= MIN($C$3:$C$9),C3,NA())</f>
        <v>#N/A</v>
      </c>
    </row>
    <row r="4" spans="2:6" x14ac:dyDescent="0.25">
      <c r="B4" t="s">
        <v>6</v>
      </c>
      <c r="C4">
        <f t="shared" ref="C4:C9" ca="1" si="0">RANDBETWEEN(10,100)</f>
        <v>67</v>
      </c>
      <c r="D4">
        <f t="shared" ref="D4:D9" ca="1" si="1">AVERAGE($C$3:$C$9)</f>
        <v>41</v>
      </c>
      <c r="E4">
        <f t="shared" ref="E4:E9" ca="1" si="2">IF(C4= MAX($C$3:$C$9),C4,NA())</f>
        <v>67</v>
      </c>
      <c r="F4" t="e">
        <f t="shared" ref="F4:F9" ca="1" si="3">IF(C4= MIN($C$3:$C$9),C4,NA())</f>
        <v>#N/A</v>
      </c>
    </row>
    <row r="5" spans="2:6" x14ac:dyDescent="0.25">
      <c r="B5" t="s">
        <v>7</v>
      </c>
      <c r="C5">
        <f t="shared" ca="1" si="0"/>
        <v>51</v>
      </c>
      <c r="D5">
        <f t="shared" ca="1" si="1"/>
        <v>41</v>
      </c>
      <c r="E5" t="e">
        <f t="shared" ca="1" si="2"/>
        <v>#N/A</v>
      </c>
      <c r="F5" t="e">
        <f t="shared" ca="1" si="3"/>
        <v>#N/A</v>
      </c>
    </row>
    <row r="6" spans="2:6" x14ac:dyDescent="0.25">
      <c r="B6" t="s">
        <v>8</v>
      </c>
      <c r="C6">
        <f t="shared" ca="1" si="0"/>
        <v>53</v>
      </c>
      <c r="D6">
        <f t="shared" ca="1" si="1"/>
        <v>41</v>
      </c>
      <c r="E6" t="e">
        <f t="shared" ca="1" si="2"/>
        <v>#N/A</v>
      </c>
      <c r="F6" t="e">
        <f t="shared" ca="1" si="3"/>
        <v>#N/A</v>
      </c>
    </row>
    <row r="7" spans="2:6" x14ac:dyDescent="0.25">
      <c r="B7" t="s">
        <v>9</v>
      </c>
      <c r="C7">
        <f t="shared" ca="1" si="0"/>
        <v>22</v>
      </c>
      <c r="D7">
        <f t="shared" ca="1" si="1"/>
        <v>41</v>
      </c>
      <c r="E7" t="e">
        <f t="shared" ca="1" si="2"/>
        <v>#N/A</v>
      </c>
      <c r="F7" t="e">
        <f t="shared" ca="1" si="3"/>
        <v>#N/A</v>
      </c>
    </row>
    <row r="8" spans="2:6" x14ac:dyDescent="0.25">
      <c r="B8" t="s">
        <v>10</v>
      </c>
      <c r="C8">
        <f t="shared" ca="1" si="0"/>
        <v>22</v>
      </c>
      <c r="D8">
        <f t="shared" ca="1" si="1"/>
        <v>41</v>
      </c>
      <c r="E8" t="e">
        <f t="shared" ca="1" si="2"/>
        <v>#N/A</v>
      </c>
      <c r="F8" t="e">
        <f t="shared" ca="1" si="3"/>
        <v>#N/A</v>
      </c>
    </row>
    <row r="9" spans="2:6" x14ac:dyDescent="0.25">
      <c r="B9" t="s">
        <v>11</v>
      </c>
      <c r="C9">
        <f t="shared" ca="1" si="0"/>
        <v>10</v>
      </c>
      <c r="D9">
        <f t="shared" ca="1" si="1"/>
        <v>41</v>
      </c>
      <c r="E9" t="e">
        <f t="shared" ca="1" si="2"/>
        <v>#N/A</v>
      </c>
      <c r="F9">
        <f t="shared" ca="1" si="3"/>
        <v>10</v>
      </c>
    </row>
  </sheetData>
  <phoneticPr fontId="1" type="noConversion"/>
  <pageMargins left="0.7" right="0.7" top="0.75" bottom="0.75" header="0.3" footer="0.3"/>
  <pageSetup orientation="portrait" horizontalDpi="300" verticalDpi="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4" name="Check Box 1">
              <controlPr defaultSize="0" autoFill="0" autoLine="0" autoPict="0">
                <anchor moveWithCells="1">
                  <from>
                    <xdr:col>7</xdr:col>
                    <xdr:colOff>257175</xdr:colOff>
                    <xdr:row>3</xdr:row>
                    <xdr:rowOff>85725</xdr:rowOff>
                  </from>
                  <to>
                    <xdr:col>8</xdr:col>
                    <xdr:colOff>447675</xdr:colOff>
                    <xdr:row>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4" r:id="rId5" name="Check Box 2">
              <controlPr defaultSize="0" autoFill="0" autoLine="0" autoPict="0">
                <anchor moveWithCells="1">
                  <from>
                    <xdr:col>7</xdr:col>
                    <xdr:colOff>314325</xdr:colOff>
                    <xdr:row>5</xdr:row>
                    <xdr:rowOff>114300</xdr:rowOff>
                  </from>
                  <to>
                    <xdr:col>8</xdr:col>
                    <xdr:colOff>504825</xdr:colOff>
                    <xdr:row>6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5" r:id="rId6" name="Check Box 3">
              <controlPr defaultSize="0" autoFill="0" autoLine="0" autoPict="0">
                <anchor moveWithCells="1">
                  <from>
                    <xdr:col>7</xdr:col>
                    <xdr:colOff>400050</xdr:colOff>
                    <xdr:row>8</xdr:row>
                    <xdr:rowOff>57150</xdr:rowOff>
                  </from>
                  <to>
                    <xdr:col>8</xdr:col>
                    <xdr:colOff>590550</xdr:colOff>
                    <xdr:row>9</xdr:row>
                    <xdr:rowOff>76200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12"/>
  <sheetViews>
    <sheetView workbookViewId="0">
      <selection activeCell="G8" sqref="G8"/>
    </sheetView>
  </sheetViews>
  <sheetFormatPr defaultRowHeight="15" x14ac:dyDescent="0.25"/>
  <cols>
    <col min="2" max="2" width="11.42578125" bestFit="1" customWidth="1"/>
  </cols>
  <sheetData>
    <row r="2" spans="2:7" x14ac:dyDescent="0.25">
      <c r="B2" t="s">
        <v>16</v>
      </c>
    </row>
    <row r="3" spans="2:7" x14ac:dyDescent="0.25">
      <c r="B3" t="s">
        <v>17</v>
      </c>
      <c r="C3">
        <f ca="1">RANDBETWEEN(10,50)</f>
        <v>42</v>
      </c>
    </row>
    <row r="4" spans="2:7" x14ac:dyDescent="0.25">
      <c r="B4" t="s">
        <v>18</v>
      </c>
      <c r="C4">
        <f ca="1">RANDBETWEEN(10,50)</f>
        <v>24</v>
      </c>
    </row>
    <row r="5" spans="2:7" x14ac:dyDescent="0.25">
      <c r="F5" t="s">
        <v>5</v>
      </c>
      <c r="G5">
        <f ca="1">RANDBETWEEN(10,50)</f>
        <v>27</v>
      </c>
    </row>
    <row r="6" spans="2:7" x14ac:dyDescent="0.25">
      <c r="F6" t="s">
        <v>6</v>
      </c>
      <c r="G6">
        <f t="shared" ref="G6:G11" ca="1" si="0">RANDBETWEEN(10,50)</f>
        <v>18</v>
      </c>
    </row>
    <row r="7" spans="2:7" x14ac:dyDescent="0.25">
      <c r="F7" t="s">
        <v>7</v>
      </c>
      <c r="G7">
        <f t="shared" ca="1" si="0"/>
        <v>48</v>
      </c>
    </row>
    <row r="8" spans="2:7" x14ac:dyDescent="0.25">
      <c r="F8" t="s">
        <v>8</v>
      </c>
      <c r="G8">
        <f t="shared" ca="1" si="0"/>
        <v>42</v>
      </c>
    </row>
    <row r="9" spans="2:7" x14ac:dyDescent="0.25">
      <c r="F9" t="s">
        <v>9</v>
      </c>
      <c r="G9">
        <f t="shared" ca="1" si="0"/>
        <v>31</v>
      </c>
    </row>
    <row r="10" spans="2:7" x14ac:dyDescent="0.25">
      <c r="F10" t="s">
        <v>10</v>
      </c>
      <c r="G10">
        <f t="shared" ca="1" si="0"/>
        <v>28</v>
      </c>
    </row>
    <row r="11" spans="2:7" x14ac:dyDescent="0.25">
      <c r="F11" t="s">
        <v>11</v>
      </c>
      <c r="G11">
        <f t="shared" ca="1" si="0"/>
        <v>33</v>
      </c>
    </row>
    <row r="12" spans="2:7" x14ac:dyDescent="0.25">
      <c r="F12" s="3"/>
    </row>
  </sheetData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0"/>
  <sheetViews>
    <sheetView workbookViewId="0">
      <selection activeCell="Q6" sqref="Q6"/>
    </sheetView>
  </sheetViews>
  <sheetFormatPr defaultRowHeight="15" x14ac:dyDescent="0.25"/>
  <cols>
    <col min="2" max="2" width="14" bestFit="1" customWidth="1"/>
  </cols>
  <sheetData>
    <row r="2" spans="1:4" x14ac:dyDescent="0.25">
      <c r="B2" t="s">
        <v>19</v>
      </c>
    </row>
    <row r="5" spans="1:4" x14ac:dyDescent="0.25">
      <c r="B5" t="s">
        <v>21</v>
      </c>
      <c r="D5">
        <v>20000</v>
      </c>
    </row>
    <row r="6" spans="1:4" x14ac:dyDescent="0.25">
      <c r="B6" t="s">
        <v>17</v>
      </c>
      <c r="D6">
        <v>1343</v>
      </c>
    </row>
    <row r="7" spans="1:4" x14ac:dyDescent="0.25">
      <c r="B7" t="s">
        <v>20</v>
      </c>
      <c r="D7">
        <v>300000</v>
      </c>
    </row>
    <row r="9" spans="1:4" x14ac:dyDescent="0.25">
      <c r="B9" t="s">
        <v>21</v>
      </c>
      <c r="C9" t="s">
        <v>17</v>
      </c>
      <c r="D9" t="s">
        <v>20</v>
      </c>
    </row>
    <row r="10" spans="1:4" x14ac:dyDescent="0.25">
      <c r="A10" t="s">
        <v>22</v>
      </c>
      <c r="B10">
        <v>200000</v>
      </c>
      <c r="C10">
        <v>130000</v>
      </c>
      <c r="D10">
        <v>300000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Sheet1!Print_Area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Ultrabook</dc:creator>
  <cp:lastModifiedBy>Muhammad Nasir</cp:lastModifiedBy>
  <dcterms:created xsi:type="dcterms:W3CDTF">2025-02-20T05:24:17Z</dcterms:created>
  <dcterms:modified xsi:type="dcterms:W3CDTF">2025-04-12T05:58:49Z</dcterms:modified>
</cp:coreProperties>
</file>